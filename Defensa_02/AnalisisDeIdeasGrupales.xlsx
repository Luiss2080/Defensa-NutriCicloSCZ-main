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issxD\Downloads\Actividad_02_Emprendedurismo\"/>
    </mc:Choice>
  </mc:AlternateContent>
  <xr:revisionPtr revIDLastSave="0" documentId="13_ncr:1_{6ADF925C-9B3D-4F31-A7D4-38B8025460B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1. Inventario de Ideas" sheetId="1" r:id="rId1"/>
    <sheet name="2. Criterios del Grupo" sheetId="2" r:id="rId2"/>
    <sheet name="3. Tabla de Evaluación" sheetId="3" r:id="rId3"/>
    <sheet name="4. Filtro y Ranking" sheetId="4" r:id="rId4"/>
    <sheet name="5. Comparativa Prototipos" sheetId="6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7" i="3" l="1"/>
  <c r="K27" i="3" s="1"/>
  <c r="J26" i="3"/>
  <c r="K26" i="3" s="1"/>
  <c r="J25" i="3"/>
  <c r="K25" i="3" s="1"/>
  <c r="J24" i="3"/>
  <c r="K24" i="3" s="1"/>
  <c r="J23" i="3"/>
  <c r="K23" i="3" s="1"/>
  <c r="J22" i="3"/>
  <c r="K22" i="3" s="1"/>
  <c r="K21" i="3"/>
  <c r="J21" i="3"/>
  <c r="J20" i="3"/>
  <c r="K20" i="3" s="1"/>
  <c r="J19" i="3"/>
  <c r="K19" i="3" s="1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K12" i="3" s="1"/>
  <c r="J11" i="3"/>
  <c r="K11" i="3" s="1"/>
  <c r="J10" i="3"/>
  <c r="K10" i="3" s="1"/>
  <c r="J9" i="3"/>
  <c r="K9" i="3" s="1"/>
  <c r="J8" i="3"/>
  <c r="K8" i="3" s="1"/>
  <c r="J7" i="3"/>
  <c r="K7" i="3" s="1"/>
  <c r="J6" i="3"/>
  <c r="K6" i="3" s="1"/>
</calcChain>
</file>

<file path=xl/sharedStrings.xml><?xml version="1.0" encoding="utf-8"?>
<sst xmlns="http://schemas.openxmlformats.org/spreadsheetml/2006/main" count="343" uniqueCount="190">
  <si>
    <t>INVENTARIO COMPLETO DE IDEAS — TALLER ECONOMÍA CIRCULAR SCZ</t>
  </si>
  <si>
    <t>Ideas propuestas por cada integrante del grupo</t>
  </si>
  <si>
    <t>#</t>
  </si>
  <si>
    <t>Participante</t>
  </si>
  <si>
    <t>Idea / Producto</t>
  </si>
  <si>
    <t>Tipo de Residuo</t>
  </si>
  <si>
    <t>Impacto</t>
  </si>
  <si>
    <t>Facilidad</t>
  </si>
  <si>
    <t>Leonardo Peña</t>
  </si>
  <si>
    <t>BioKraft – Papel de bagazo</t>
  </si>
  <si>
    <t>Bagazo de caña</t>
  </si>
  <si>
    <t>Alto</t>
  </si>
  <si>
    <t>Fácil</t>
  </si>
  <si>
    <t>Joel Miranda</t>
  </si>
  <si>
    <t>Paneles aislante acústico (fibras de coco y aserrín)</t>
  </si>
  <si>
    <t>Coco / Aserrín</t>
  </si>
  <si>
    <t>Cuadernos con papel reciclado</t>
  </si>
  <si>
    <t>Papel reciclado</t>
  </si>
  <si>
    <t>Bajo</t>
  </si>
  <si>
    <t>María Ortiz</t>
  </si>
  <si>
    <t>Macetas con botellas plásticas</t>
  </si>
  <si>
    <t>Plástico PET</t>
  </si>
  <si>
    <t>Lápices plantables</t>
  </si>
  <si>
    <t>Residuos de madera/papel</t>
  </si>
  <si>
    <t>Medio</t>
  </si>
  <si>
    <t>Jabones a base de aceite reciclado</t>
  </si>
  <si>
    <t>Aceite vegetal usado</t>
  </si>
  <si>
    <t>Mochilas / tote bags con tela de jeans reciclados</t>
  </si>
  <si>
    <t>Textil reciclado</t>
  </si>
  <si>
    <t>Douglas Flor Hernández</t>
  </si>
  <si>
    <t>BMN + Harina BSF (NutriCiclo)</t>
  </si>
  <si>
    <t>Residuos orgánicos / insectos</t>
  </si>
  <si>
    <t>Hub Circular NutriCiclo SCZ</t>
  </si>
  <si>
    <t>Múltiples flujos orgánicos</t>
  </si>
  <si>
    <t>BMN con residuos industriales</t>
  </si>
  <si>
    <t>Residuos industriales</t>
  </si>
  <si>
    <t>Harina de sangre bovina</t>
  </si>
  <si>
    <t>Residuos matadero</t>
  </si>
  <si>
    <t>Compost de contenido ruminal</t>
  </si>
  <si>
    <t>Residuos ganaderos</t>
  </si>
  <si>
    <t>Ensilaje de rastrojos para sequía</t>
  </si>
  <si>
    <t>Rastrojos agrícolas</t>
  </si>
  <si>
    <t>BMN terapéuticos con desparasitante</t>
  </si>
  <si>
    <t>Residuos orgánicos</t>
  </si>
  <si>
    <t>Pet food premium mascotas</t>
  </si>
  <si>
    <t>Residuos cárnicos</t>
  </si>
  <si>
    <t>Fertilizante cachaza + estiércol</t>
  </si>
  <si>
    <t>Cachaza / estiércol</t>
  </si>
  <si>
    <t>Harina de hueso calcinado</t>
  </si>
  <si>
    <t>Huesos residuales</t>
  </si>
  <si>
    <t>Luis Rocha</t>
  </si>
  <si>
    <t>Bolsas reutilizables térmicas de envases Tetra Pak</t>
  </si>
  <si>
    <t>Tetra Pak descartado</t>
  </si>
  <si>
    <t>Desodorizantes naturales para calzado (cáscaras de cítricos)</t>
  </si>
  <si>
    <t>Cáscaras de cítricos</t>
  </si>
  <si>
    <t>Protectores de impacto para embalaje (cáscaras de maní)</t>
  </si>
  <si>
    <t>Cáscaras de maní</t>
  </si>
  <si>
    <t>Tintes naturales de residuos de frutas y vegetales</t>
  </si>
  <si>
    <t>Residuos de frutas/vegetales</t>
  </si>
  <si>
    <t>LEYENDA</t>
  </si>
  <si>
    <t>CRITERIOS DE SELECCIÓN DEFINIDOS POR EL GRUPO</t>
  </si>
  <si>
    <t>El grupo acordó 6 preguntas clave para evaluar cada idea. Escala: 1=Bajo | 2=Medio | 3=Alto</t>
  </si>
  <si>
    <t>Crit.</t>
  </si>
  <si>
    <t>Pregunta que nos hicimos</t>
  </si>
  <si>
    <t>¿Por qué la incluimos?</t>
  </si>
  <si>
    <t>Escala</t>
  </si>
  <si>
    <t>Importancia</t>
  </si>
  <si>
    <t>A</t>
  </si>
  <si>
    <t>¿Usamos residuos que están disponibles en Santa Cruz?</t>
  </si>
  <si>
    <t>No tiene sentido si el insumo no existe o es difícil de conseguir aquí</t>
  </si>
  <si>
    <t>1-3</t>
  </si>
  <si>
    <t>Alta</t>
  </si>
  <si>
    <t>B</t>
  </si>
  <si>
    <t>¿Lo podemos fabricar sin maquinaria industrial?</t>
  </si>
  <si>
    <t>Necesitamos que el prototipo se pueda hacer con herramientas básicas</t>
  </si>
  <si>
    <t>C</t>
  </si>
  <si>
    <t>¿Hay personas en SCZ que lo comprarían?</t>
  </si>
  <si>
    <t>Sin mercado local no hay negocio viable</t>
  </si>
  <si>
    <t>D</t>
  </si>
  <si>
    <t>¿Puede generar ingresos reales y sostenibles para el grupo?</t>
  </si>
  <si>
    <t>Buscamos un modelo rentable a mediano plazo, no solo de bajo costo</t>
  </si>
  <si>
    <t>MUY Alta ★</t>
  </si>
  <si>
    <t>E</t>
  </si>
  <si>
    <t>¿Es algo diferente a lo que ya existe en SCZ?</t>
  </si>
  <si>
    <t>La innovación nos da ventaja frente a la competencia</t>
  </si>
  <si>
    <t>F</t>
  </si>
  <si>
    <t>¿Podemos hacer un prototipo con poco dinero?</t>
  </si>
  <si>
    <t>El prototipo debe ser alcanzable con nuestros recursos actuales</t>
  </si>
  <si>
    <t>ESCALA DE PUNTUACIÓN</t>
  </si>
  <si>
    <t>3 — Alto: El criterio se cumple completamente</t>
  </si>
  <si>
    <t>2 — Medio: El criterio se cumple parcialmente</t>
  </si>
  <si>
    <t>1 — Bajo: El criterio apenas se cumple o no aplica</t>
  </si>
  <si>
    <t>CÓMO DECIDIMOS EL GANADOR</t>
  </si>
  <si>
    <t>1° Se calcula el promedio de los 6 criterios (escala 1-3).
2° Si dos ideas empatan en promedio, gana la que tenga mayor puntaje en los criterios D (rentabilidad) y E (innovación), ya que el grupo los consideró los más importantes para un negocio circular sostenible.
3° Escala final:  ≥ 2.5 = ALTA viabilidad  |  2.0-2.4 = MEDIA  |  &lt; 2.0 = BAJA</t>
  </si>
  <si>
    <t>TABLA DE EVALUACIÓN — CRITERIOS DEL GRUPO</t>
  </si>
  <si>
    <t>Cada criterio puntuado 1-3 por el grupo. Promedio determina viabilidad. Empates se resuelven por criterios D y E (★).</t>
  </si>
  <si>
    <t>CRITERIO →</t>
  </si>
  <si>
    <t>A
Disponib.
Insumo</t>
  </si>
  <si>
    <t>B
Facilidad
Fabric.</t>
  </si>
  <si>
    <t>C
Demanda
Local</t>
  </si>
  <si>
    <t>D★
Potencial
Ingresos</t>
  </si>
  <si>
    <t>E★
Novedad
SCZ</t>
  </si>
  <si>
    <t>F
Viab.
Prototipo</t>
  </si>
  <si>
    <t>PROMEDIO</t>
  </si>
  <si>
    <t>NIVEL</t>
  </si>
  <si>
    <t>D★</t>
  </si>
  <si>
    <t>E★</t>
  </si>
  <si>
    <t>Promedio</t>
  </si>
  <si>
    <t>Nivel</t>
  </si>
  <si>
    <t>★ NOTA DESEMPATE: Varias ideas alcanzan promedio 2.67. El grupo decidió que NutriCiclo (BMN+BSF) gana porque obtiene 3 en D★ (potencial de ingresos) y 3 en E★ (novedad), los criterios más importantes para un negocio circular real. Las demás con 2.67 tienen D=2 o E=2.</t>
  </si>
  <si>
    <t>FILTRO Y RANKING — MEJORES IDEAS DEL GRUPO</t>
  </si>
  <si>
    <t>Ideas ordenadas por puntaje. Desempate resuelto por criterios D★ y E★ (rentabilidad e innovación)</t>
  </si>
  <si>
    <t>FILTROS QUE APLICAMOS COMO GRUPO</t>
  </si>
  <si>
    <t>Fi</t>
  </si>
  <si>
    <t>Filtro 1</t>
  </si>
  <si>
    <t>Eliminamos ideas que no alcanzan puntuación suficiente en los criterios básicos</t>
  </si>
  <si>
    <t>Filtro 2</t>
  </si>
  <si>
    <t>Priorizamos ideas con real potencial económico, no solo bajo costo</t>
  </si>
  <si>
    <t>Filtro 3</t>
  </si>
  <si>
    <t>Buscamos diferenciación: que no sea algo que ya todos hacen</t>
  </si>
  <si>
    <t>Filtro 4</t>
  </si>
  <si>
    <t>Solo ideas con residuos que realmente podemos conseguir aquí</t>
  </si>
  <si>
    <t>RANKING FINAL DE IDEAS</t>
  </si>
  <si>
    <t>Rank</t>
  </si>
  <si>
    <t>Idea</t>
  </si>
  <si>
    <t>Prom.</t>
  </si>
  <si>
    <t>Fortaleza principal</t>
  </si>
  <si>
    <t>Limitación</t>
  </si>
  <si>
    <t>Decisión</t>
  </si>
  <si>
    <t>Douglas Flor H.</t>
  </si>
  <si>
    <t>Mayor mercado (ganadero SCZ), más innovador, mayor ingreso potencial</t>
  </si>
  <si>
    <t>Requiere aprender manejo de larvas BSF</t>
  </si>
  <si>
    <t>🏆 GANADORA</t>
  </si>
  <si>
    <t>Bolsas reutilizables térmicas (Tetra Pak)</t>
  </si>
  <si>
    <t>Fácil de hacer, insumo gratuito, producto útil</t>
  </si>
  <si>
    <t>Menor potencial de ingresos a escala</t>
  </si>
  <si>
    <t>🥈 FINALISTA</t>
  </si>
  <si>
    <t>Desodorizantes de cáscaras de cítricos</t>
  </si>
  <si>
    <t>Proceso muy simple, insumo gratuito y abundante</t>
  </si>
  <si>
    <t>Volumen de venta bajo por unidad</t>
  </si>
  <si>
    <t>🥉 FINALISTA</t>
  </si>
  <si>
    <t>Muy fácil prototipo, buena novedad local</t>
  </si>
  <si>
    <t>Escala pequeña, ingreso por unidad bajo</t>
  </si>
  <si>
    <t>✅ PROTOTIPO RÁPIDO</t>
  </si>
  <si>
    <t>BMN terapéuticos + desparasitante</t>
  </si>
  <si>
    <t>Alto valor agregado, diferenciación veterinaria</t>
  </si>
  <si>
    <t>Requiere validación técnica</t>
  </si>
  <si>
    <t>✅ COMPLEMENTARIA</t>
  </si>
  <si>
    <t>Insumo muy abundante, producto diferenciado</t>
  </si>
  <si>
    <t>Proceso requiere pruebas de calidad</t>
  </si>
  <si>
    <t>✅ VIABLE</t>
  </si>
  <si>
    <t>Muy fácil, cero costo de insumo</t>
  </si>
  <si>
    <t>Baja diferenciación, ya existe en mercado</t>
  </si>
  <si>
    <t>🔵 VIABLE</t>
  </si>
  <si>
    <t>Insumo ganadero muy disponible en SCZ</t>
  </si>
  <si>
    <t>Mercado más técnico / agrícola</t>
  </si>
  <si>
    <t>COMPARATIVA DE PROTOTIPOS — TOP IDEAS</t>
  </si>
  <si>
    <t>Las ideas más viables de prototipar según nuestros recursos. NutriCiclo lidera por impacto y rentabilidad.</t>
  </si>
  <si>
    <t>Costo
prototipo</t>
  </si>
  <si>
    <t>Tiempo
(semanas)</t>
  </si>
  <si>
    <t>Materiales
principales</t>
  </si>
  <si>
    <t>¿Dónde
vendemos?</t>
  </si>
  <si>
    <t>Dificultad</t>
  </si>
  <si>
    <t>BMN+Harina BSF (NutriCiclo)</t>
  </si>
  <si>
    <t>Douglas F.H.</t>
  </si>
  <si>
    <t>$200-300 USD</t>
  </si>
  <si>
    <t>14-16 sem.</t>
  </si>
  <si>
    <t>Larvas BSF, residuos orgánicos, sales minerales, melaza</t>
  </si>
  <si>
    <t>Ganaderos SCZ, feedlots, tiendas agropecuarias</t>
  </si>
  <si>
    <t>Desodorizantes de cítricos</t>
  </si>
  <si>
    <t>&lt;$20 USD</t>
  </si>
  <si>
    <t>1 sem.</t>
  </si>
  <si>
    <t>Cáscaras de cítricos, sal, recipientes pequeños</t>
  </si>
  <si>
    <t>Mercados, tiendas naturales, redes sociales</t>
  </si>
  <si>
    <t>⭐ MUY FÁCIL</t>
  </si>
  <si>
    <t>Bolsas térmicas Tetra Pak</t>
  </si>
  <si>
    <t>&lt;$40 USD</t>
  </si>
  <si>
    <t>1-2 sem.</t>
  </si>
  <si>
    <t>Tetra Pak, velcro, pegamento térmico</t>
  </si>
  <si>
    <t>Ferias ecológicas, delivery local, redes sociales</t>
  </si>
  <si>
    <t>&lt;$50 USD</t>
  </si>
  <si>
    <t>2-3 sem.</t>
  </si>
  <si>
    <t>Papel reciclado, semillas, moldes, pegamento</t>
  </si>
  <si>
    <t>Papelerías, ferias, colegios eco-amigables</t>
  </si>
  <si>
    <t>✅ FÁCIL</t>
  </si>
  <si>
    <t>$100-200</t>
  </si>
  <si>
    <t>4-6 sem.</t>
  </si>
  <si>
    <t>Bagazo de caña, soda cáustica, tamices, agua</t>
  </si>
  <si>
    <t>Papelerías, imprentas, emprendimientos eco</t>
  </si>
  <si>
    <t>🔧 MODERADA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</si>
</sst>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9"/>
      <color rgb="FF546E7A"/>
      <name val="Arial"/>
      <charset val="1"/>
    </font>
    <font>
      <b/>
      <sz val="10"/>
      <color rgb="FFFFFFFF"/>
      <name val="Arial"/>
      <charset val="1"/>
    </font>
    <font>
      <sz val="9"/>
      <color rgb="FF263238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sz val="10"/>
      <color rgb="FF263238"/>
      <name val="Arial"/>
      <charset val="1"/>
    </font>
    <font>
      <b/>
      <sz val="10"/>
      <color rgb="FF263238"/>
      <name val="Arial"/>
      <charset val="1"/>
    </font>
    <font>
      <i/>
      <sz val="10"/>
      <color rgb="FF263238"/>
      <name val="Arial"/>
      <charset val="1"/>
    </font>
    <font>
      <b/>
      <sz val="14"/>
      <color rgb="FFFFFFFF"/>
      <name val="Arial"/>
      <charset val="1"/>
    </font>
    <font>
      <b/>
      <sz val="8"/>
      <color rgb="FFFFFFFF"/>
      <name val="Arial"/>
      <charset val="1"/>
    </font>
    <font>
      <sz val="8"/>
      <color rgb="FF263238"/>
      <name val="Arial"/>
      <charset val="1"/>
    </font>
    <font>
      <i/>
      <sz val="9"/>
      <color rgb="FFFFFFFF"/>
      <name val="Arial"/>
      <charset val="1"/>
    </font>
    <font>
      <b/>
      <sz val="9"/>
      <color rgb="FF263238"/>
      <name val="Arial"/>
      <charset val="1"/>
    </font>
    <font>
      <b/>
      <sz val="11"/>
      <color rgb="FFFFFFFF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E8F5E9"/>
        <bgColor rgb="FFECEFF1"/>
      </patternFill>
    </fill>
    <fill>
      <patternFill patternType="solid">
        <fgColor rgb="FF2E7D32"/>
        <bgColor rgb="FF1B5E20"/>
      </patternFill>
    </fill>
    <fill>
      <patternFill patternType="solid">
        <fgColor rgb="FFE3F2FD"/>
        <bgColor rgb="FFECEFF1"/>
      </patternFill>
    </fill>
    <fill>
      <patternFill patternType="solid">
        <fgColor rgb="FFFFE0B2"/>
        <bgColor rgb="FFFFCCBC"/>
      </patternFill>
    </fill>
    <fill>
      <patternFill patternType="solid">
        <fgColor rgb="FFFCE4EC"/>
        <bgColor rgb="FFF3E5F5"/>
      </patternFill>
    </fill>
    <fill>
      <patternFill patternType="solid">
        <fgColor rgb="FFF3E5F5"/>
        <bgColor rgb="FFFCE4EC"/>
      </patternFill>
    </fill>
    <fill>
      <patternFill patternType="solid">
        <fgColor rgb="FF546E7A"/>
        <bgColor rgb="FF808080"/>
      </patternFill>
    </fill>
    <fill>
      <patternFill patternType="solid">
        <fgColor rgb="FF0D47A1"/>
        <bgColor rgb="FF1565C0"/>
      </patternFill>
    </fill>
    <fill>
      <patternFill patternType="solid">
        <fgColor rgb="FF263238"/>
        <bgColor rgb="FF333300"/>
      </patternFill>
    </fill>
    <fill>
      <patternFill patternType="solid">
        <fgColor rgb="FFFFF9C4"/>
        <bgColor rgb="FFE8F5E9"/>
      </patternFill>
    </fill>
    <fill>
      <patternFill patternType="solid">
        <fgColor rgb="FFFFCCBC"/>
        <bgColor rgb="FFFFE0B2"/>
      </patternFill>
    </fill>
    <fill>
      <patternFill patternType="solid">
        <fgColor rgb="FFE65100"/>
        <bgColor rgb="FF993300"/>
      </patternFill>
    </fill>
    <fill>
      <patternFill patternType="solid">
        <fgColor rgb="FFA5D6A7"/>
        <bgColor rgb="FFBDBDBD"/>
      </patternFill>
    </fill>
    <fill>
      <patternFill patternType="solid">
        <fgColor rgb="FFECEFF1"/>
        <bgColor rgb="FFE8F5E9"/>
      </patternFill>
    </fill>
    <fill>
      <patternFill patternType="solid">
        <fgColor rgb="FFFFFFFF"/>
        <bgColor rgb="FFE8F5E9"/>
      </patternFill>
    </fill>
    <fill>
      <patternFill patternType="solid">
        <fgColor rgb="FF1565C0"/>
        <bgColor rgb="FF0D47A1"/>
      </patternFill>
    </fill>
    <fill>
      <patternFill patternType="solid">
        <fgColor rgb="FFFF0000"/>
        <bgColor rgb="FFFFCCBC"/>
      </patternFill>
    </fill>
  </fills>
  <borders count="3">
    <border>
      <left/>
      <right/>
      <top/>
      <bottom/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left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2" fontId="8" fillId="12" borderId="2" xfId="0" applyNumberFormat="1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8" fillId="13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left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left" vertical="center" wrapText="1"/>
    </xf>
    <xf numFmtId="2" fontId="8" fillId="15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left" vertical="center" wrapText="1"/>
    </xf>
    <xf numFmtId="2" fontId="4" fillId="16" borderId="2" xfId="0" applyNumberFormat="1" applyFont="1" applyFill="1" applyBorder="1" applyAlignment="1">
      <alignment horizontal="center" vertical="center" wrapText="1"/>
    </xf>
    <xf numFmtId="0" fontId="4" fillId="17" borderId="2" xfId="0" applyFont="1" applyFill="1" applyBorder="1" applyAlignment="1">
      <alignment horizontal="center" vertical="center" wrapText="1"/>
    </xf>
    <xf numFmtId="0" fontId="4" fillId="17" borderId="2" xfId="0" applyFont="1" applyFill="1" applyBorder="1" applyAlignment="1">
      <alignment horizontal="left" vertical="center" wrapText="1"/>
    </xf>
    <xf numFmtId="2" fontId="4" fillId="17" borderId="2" xfId="0" applyNumberFormat="1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8" borderId="2" xfId="0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4" fillId="7" borderId="2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0" fillId="1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CEFF1"/>
      <rgbColor rgb="FFFFE0B2"/>
      <rgbColor rgb="FFA5D6A7"/>
      <rgbColor rgb="FFFCE4EC"/>
      <rgbColor rgb="FFCC99FF"/>
      <rgbColor rgb="FFFFCCBC"/>
      <rgbColor rgb="FF3366FF"/>
      <rgbColor rgb="FF33CCCC"/>
      <rgbColor rgb="FF99CC00"/>
      <rgbColor rgb="FFFFCC00"/>
      <rgbColor rgb="FFFF9900"/>
      <rgbColor rgb="FFE65100"/>
      <rgbColor rgb="FF546E7A"/>
      <rgbColor rgb="FF969696"/>
      <rgbColor rgb="FF0D47A1"/>
      <rgbColor rgb="FF2E7D32"/>
      <rgbColor rgb="FF003300"/>
      <rgbColor rgb="FF333300"/>
      <rgbColor rgb="FF993300"/>
      <rgbColor rgb="FF993366"/>
      <rgbColor rgb="FF333399"/>
      <rgbColor rgb="FF2632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3"/>
  <sheetViews>
    <sheetView tabSelected="1" zoomScale="81" zoomScaleNormal="100" workbookViewId="0">
      <selection activeCell="D17" sqref="D17"/>
    </sheetView>
  </sheetViews>
  <sheetFormatPr baseColWidth="10" defaultColWidth="8.6640625" defaultRowHeight="14.4" x14ac:dyDescent="0.3"/>
  <cols>
    <col min="1" max="1" width="5" customWidth="1"/>
    <col min="2" max="2" width="22" customWidth="1"/>
    <col min="3" max="3" width="42" customWidth="1"/>
    <col min="4" max="4" width="22" customWidth="1"/>
    <col min="5" max="6" width="10" customWidth="1"/>
  </cols>
  <sheetData>
    <row r="2" spans="1:6" ht="43.5" customHeight="1" x14ac:dyDescent="0.3">
      <c r="A2" s="62" t="s">
        <v>0</v>
      </c>
      <c r="B2" s="62"/>
      <c r="C2" s="62"/>
      <c r="D2" s="62"/>
      <c r="E2" s="62"/>
      <c r="F2" s="62"/>
    </row>
    <row r="3" spans="1:6" ht="15" customHeight="1" x14ac:dyDescent="0.3">
      <c r="A3" s="63" t="s">
        <v>1</v>
      </c>
      <c r="B3" s="63"/>
      <c r="C3" s="63"/>
      <c r="D3" s="63"/>
      <c r="E3" s="63"/>
      <c r="F3" s="63"/>
    </row>
    <row r="4" spans="1:6" ht="24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21.75" customHeight="1" x14ac:dyDescent="0.3">
      <c r="A5" s="2">
        <v>1</v>
      </c>
      <c r="B5" s="3" t="s">
        <v>8</v>
      </c>
      <c r="C5" s="3" t="s">
        <v>9</v>
      </c>
      <c r="D5" s="3" t="s">
        <v>10</v>
      </c>
      <c r="E5" s="2" t="s">
        <v>11</v>
      </c>
      <c r="F5" s="2" t="s">
        <v>12</v>
      </c>
    </row>
    <row r="6" spans="1:6" ht="21.75" customHeight="1" x14ac:dyDescent="0.3">
      <c r="A6" s="4">
        <v>2</v>
      </c>
      <c r="B6" s="5" t="s">
        <v>13</v>
      </c>
      <c r="C6" s="5" t="s">
        <v>14</v>
      </c>
      <c r="D6" s="5" t="s">
        <v>15</v>
      </c>
      <c r="E6" s="4" t="s">
        <v>11</v>
      </c>
      <c r="F6" s="4" t="s">
        <v>12</v>
      </c>
    </row>
    <row r="7" spans="1:6" ht="21.75" customHeight="1" x14ac:dyDescent="0.3">
      <c r="A7" s="4">
        <v>3</v>
      </c>
      <c r="B7" s="5" t="s">
        <v>13</v>
      </c>
      <c r="C7" s="5" t="s">
        <v>16</v>
      </c>
      <c r="D7" s="5" t="s">
        <v>17</v>
      </c>
      <c r="E7" s="4" t="s">
        <v>18</v>
      </c>
      <c r="F7" s="4" t="s">
        <v>12</v>
      </c>
    </row>
    <row r="8" spans="1:6" ht="21.75" customHeight="1" x14ac:dyDescent="0.3">
      <c r="A8" s="57">
        <v>4</v>
      </c>
      <c r="B8" s="58" t="s">
        <v>19</v>
      </c>
      <c r="C8" s="58" t="s">
        <v>20</v>
      </c>
      <c r="D8" s="58" t="s">
        <v>21</v>
      </c>
      <c r="E8" s="57" t="s">
        <v>11</v>
      </c>
      <c r="F8" s="57" t="s">
        <v>12</v>
      </c>
    </row>
    <row r="9" spans="1:6" ht="21.75" customHeight="1" x14ac:dyDescent="0.3">
      <c r="A9" s="57">
        <v>5</v>
      </c>
      <c r="B9" s="58" t="s">
        <v>19</v>
      </c>
      <c r="C9" s="58" t="s">
        <v>16</v>
      </c>
      <c r="D9" s="58" t="s">
        <v>17</v>
      </c>
      <c r="E9" s="57" t="s">
        <v>11</v>
      </c>
      <c r="F9" s="57" t="s">
        <v>12</v>
      </c>
    </row>
    <row r="10" spans="1:6" ht="21.75" customHeight="1" x14ac:dyDescent="0.3">
      <c r="A10" s="6">
        <v>6</v>
      </c>
      <c r="B10" s="7" t="s">
        <v>19</v>
      </c>
      <c r="C10" s="7" t="s">
        <v>22</v>
      </c>
      <c r="D10" s="7" t="s">
        <v>23</v>
      </c>
      <c r="E10" s="6" t="s">
        <v>24</v>
      </c>
      <c r="F10" s="6" t="s">
        <v>12</v>
      </c>
    </row>
    <row r="11" spans="1:6" ht="21.75" customHeight="1" x14ac:dyDescent="0.3">
      <c r="A11" s="57">
        <v>7</v>
      </c>
      <c r="B11" s="58" t="s">
        <v>19</v>
      </c>
      <c r="C11" s="58" t="s">
        <v>25</v>
      </c>
      <c r="D11" s="58" t="s">
        <v>26</v>
      </c>
      <c r="E11" s="57" t="s">
        <v>18</v>
      </c>
      <c r="F11" s="57" t="s">
        <v>12</v>
      </c>
    </row>
    <row r="12" spans="1:6" ht="21.75" customHeight="1" x14ac:dyDescent="0.3">
      <c r="A12" s="57">
        <v>8</v>
      </c>
      <c r="B12" s="58" t="s">
        <v>19</v>
      </c>
      <c r="C12" s="58" t="s">
        <v>27</v>
      </c>
      <c r="D12" s="58" t="s">
        <v>28</v>
      </c>
      <c r="E12" s="57" t="s">
        <v>18</v>
      </c>
      <c r="F12" s="57" t="s">
        <v>12</v>
      </c>
    </row>
    <row r="13" spans="1:6" ht="21.75" customHeight="1" x14ac:dyDescent="0.3">
      <c r="A13" s="8">
        <v>9</v>
      </c>
      <c r="B13" s="9" t="s">
        <v>29</v>
      </c>
      <c r="C13" s="9" t="s">
        <v>30</v>
      </c>
      <c r="D13" s="9" t="s">
        <v>31</v>
      </c>
      <c r="E13" s="8" t="s">
        <v>11</v>
      </c>
      <c r="F13" s="8" t="s">
        <v>12</v>
      </c>
    </row>
    <row r="14" spans="1:6" ht="21.75" customHeight="1" x14ac:dyDescent="0.3">
      <c r="A14" s="8">
        <v>10</v>
      </c>
      <c r="B14" s="9" t="s">
        <v>29</v>
      </c>
      <c r="C14" s="9" t="s">
        <v>32</v>
      </c>
      <c r="D14" s="9" t="s">
        <v>33</v>
      </c>
      <c r="E14" s="8" t="s">
        <v>11</v>
      </c>
      <c r="F14" s="8" t="s">
        <v>12</v>
      </c>
    </row>
    <row r="15" spans="1:6" ht="21.75" customHeight="1" x14ac:dyDescent="0.3">
      <c r="A15" s="8">
        <v>11</v>
      </c>
      <c r="B15" s="9" t="s">
        <v>29</v>
      </c>
      <c r="C15" s="9" t="s">
        <v>34</v>
      </c>
      <c r="D15" s="9" t="s">
        <v>35</v>
      </c>
      <c r="E15" s="8" t="s">
        <v>11</v>
      </c>
      <c r="F15" s="8" t="s">
        <v>12</v>
      </c>
    </row>
    <row r="16" spans="1:6" ht="21.75" customHeight="1" x14ac:dyDescent="0.3">
      <c r="A16" s="8">
        <v>12</v>
      </c>
      <c r="B16" s="9" t="s">
        <v>29</v>
      </c>
      <c r="C16" s="9" t="s">
        <v>36</v>
      </c>
      <c r="D16" s="9" t="s">
        <v>37</v>
      </c>
      <c r="E16" s="8" t="s">
        <v>11</v>
      </c>
      <c r="F16" s="8" t="s">
        <v>12</v>
      </c>
    </row>
    <row r="17" spans="1:6" ht="21.75" customHeight="1" x14ac:dyDescent="0.3">
      <c r="A17" s="8">
        <v>13</v>
      </c>
      <c r="B17" s="9" t="s">
        <v>29</v>
      </c>
      <c r="C17" s="9" t="s">
        <v>38</v>
      </c>
      <c r="D17" s="9" t="s">
        <v>39</v>
      </c>
      <c r="E17" s="8" t="s">
        <v>11</v>
      </c>
      <c r="F17" s="8" t="s">
        <v>12</v>
      </c>
    </row>
    <row r="18" spans="1:6" ht="21.75" customHeight="1" x14ac:dyDescent="0.3">
      <c r="A18" s="8">
        <v>14</v>
      </c>
      <c r="B18" s="9" t="s">
        <v>29</v>
      </c>
      <c r="C18" s="9" t="s">
        <v>40</v>
      </c>
      <c r="D18" s="9" t="s">
        <v>41</v>
      </c>
      <c r="E18" s="8" t="s">
        <v>11</v>
      </c>
      <c r="F18" s="8" t="s">
        <v>12</v>
      </c>
    </row>
    <row r="19" spans="1:6" ht="21.75" customHeight="1" x14ac:dyDescent="0.3">
      <c r="A19" s="8">
        <v>15</v>
      </c>
      <c r="B19" s="9" t="s">
        <v>29</v>
      </c>
      <c r="C19" s="9" t="s">
        <v>42</v>
      </c>
      <c r="D19" s="9" t="s">
        <v>43</v>
      </c>
      <c r="E19" s="8" t="s">
        <v>11</v>
      </c>
      <c r="F19" s="8" t="s">
        <v>12</v>
      </c>
    </row>
    <row r="20" spans="1:6" ht="21.75" customHeight="1" x14ac:dyDescent="0.3">
      <c r="A20" s="8">
        <v>16</v>
      </c>
      <c r="B20" s="9" t="s">
        <v>29</v>
      </c>
      <c r="C20" s="9" t="s">
        <v>44</v>
      </c>
      <c r="D20" s="9" t="s">
        <v>45</v>
      </c>
      <c r="E20" s="8" t="s">
        <v>18</v>
      </c>
      <c r="F20" s="8" t="s">
        <v>12</v>
      </c>
    </row>
    <row r="21" spans="1:6" ht="21.75" customHeight="1" x14ac:dyDescent="0.3">
      <c r="A21" s="8">
        <v>17</v>
      </c>
      <c r="B21" s="9" t="s">
        <v>29</v>
      </c>
      <c r="C21" s="9" t="s">
        <v>46</v>
      </c>
      <c r="D21" s="9" t="s">
        <v>47</v>
      </c>
      <c r="E21" s="8" t="s">
        <v>18</v>
      </c>
      <c r="F21" s="8" t="s">
        <v>12</v>
      </c>
    </row>
    <row r="22" spans="1:6" ht="21.75" customHeight="1" x14ac:dyDescent="0.3">
      <c r="A22" s="8">
        <v>18</v>
      </c>
      <c r="B22" s="9" t="s">
        <v>29</v>
      </c>
      <c r="C22" s="9" t="s">
        <v>48</v>
      </c>
      <c r="D22" s="9" t="s">
        <v>49</v>
      </c>
      <c r="E22" s="8" t="s">
        <v>18</v>
      </c>
      <c r="F22" s="8" t="s">
        <v>12</v>
      </c>
    </row>
    <row r="23" spans="1:6" ht="21.75" customHeight="1" x14ac:dyDescent="0.3">
      <c r="A23" s="10">
        <v>19</v>
      </c>
      <c r="B23" s="11" t="s">
        <v>50</v>
      </c>
      <c r="C23" s="11" t="s">
        <v>51</v>
      </c>
      <c r="D23" s="11" t="s">
        <v>52</v>
      </c>
      <c r="E23" s="10" t="s">
        <v>11</v>
      </c>
      <c r="F23" s="10" t="s">
        <v>12</v>
      </c>
    </row>
    <row r="24" spans="1:6" ht="21.75" customHeight="1" x14ac:dyDescent="0.3">
      <c r="A24" s="10">
        <v>20</v>
      </c>
      <c r="B24" s="11" t="s">
        <v>50</v>
      </c>
      <c r="C24" s="11" t="s">
        <v>53</v>
      </c>
      <c r="D24" s="11" t="s">
        <v>54</v>
      </c>
      <c r="E24" s="10" t="s">
        <v>11</v>
      </c>
      <c r="F24" s="10" t="s">
        <v>12</v>
      </c>
    </row>
    <row r="25" spans="1:6" ht="21.75" customHeight="1" x14ac:dyDescent="0.3">
      <c r="A25" s="10">
        <v>21</v>
      </c>
      <c r="B25" s="11" t="s">
        <v>50</v>
      </c>
      <c r="C25" s="11" t="s">
        <v>55</v>
      </c>
      <c r="D25" s="11" t="s">
        <v>56</v>
      </c>
      <c r="E25" s="10" t="s">
        <v>11</v>
      </c>
      <c r="F25" s="10" t="s">
        <v>12</v>
      </c>
    </row>
    <row r="26" spans="1:6" ht="21.75" customHeight="1" x14ac:dyDescent="0.3">
      <c r="A26" s="10">
        <v>22</v>
      </c>
      <c r="B26" s="11" t="s">
        <v>50</v>
      </c>
      <c r="C26" s="11" t="s">
        <v>57</v>
      </c>
      <c r="D26" s="11" t="s">
        <v>58</v>
      </c>
      <c r="E26" s="10" t="s">
        <v>18</v>
      </c>
      <c r="F26" s="10" t="s">
        <v>12</v>
      </c>
    </row>
    <row r="28" spans="1:6" ht="15" customHeight="1" x14ac:dyDescent="0.3">
      <c r="A28" s="64" t="s">
        <v>59</v>
      </c>
      <c r="B28" s="64"/>
      <c r="C28" s="64"/>
      <c r="D28" s="64"/>
      <c r="E28" s="64"/>
      <c r="F28" s="64"/>
    </row>
    <row r="29" spans="1:6" ht="18" customHeight="1" x14ac:dyDescent="0.3">
      <c r="A29" s="65" t="s">
        <v>8</v>
      </c>
      <c r="B29" s="65"/>
      <c r="C29" s="65"/>
      <c r="D29" s="65"/>
      <c r="E29" s="65"/>
      <c r="F29" s="65"/>
    </row>
    <row r="30" spans="1:6" ht="18" customHeight="1" x14ac:dyDescent="0.3">
      <c r="A30" s="66" t="s">
        <v>13</v>
      </c>
      <c r="B30" s="66"/>
      <c r="C30" s="66"/>
      <c r="D30" s="66"/>
      <c r="E30" s="66"/>
      <c r="F30" s="66"/>
    </row>
    <row r="31" spans="1:6" ht="18" customHeight="1" x14ac:dyDescent="0.3">
      <c r="A31" s="59" t="s">
        <v>19</v>
      </c>
      <c r="B31" s="59"/>
      <c r="C31" s="59"/>
      <c r="D31" s="59"/>
      <c r="E31" s="59"/>
      <c r="F31" s="59"/>
    </row>
    <row r="32" spans="1:6" ht="18" customHeight="1" x14ac:dyDescent="0.3">
      <c r="A32" s="60" t="s">
        <v>29</v>
      </c>
      <c r="B32" s="60"/>
      <c r="C32" s="60"/>
      <c r="D32" s="60"/>
      <c r="E32" s="60"/>
      <c r="F32" s="60"/>
    </row>
    <row r="33" spans="1:6" ht="18" customHeight="1" x14ac:dyDescent="0.3">
      <c r="A33" s="61" t="s">
        <v>50</v>
      </c>
      <c r="B33" s="61"/>
      <c r="C33" s="61"/>
      <c r="D33" s="61"/>
      <c r="E33" s="61"/>
      <c r="F33" s="61"/>
    </row>
  </sheetData>
  <mergeCells count="8">
    <mergeCell ref="A31:F31"/>
    <mergeCell ref="A32:F32"/>
    <mergeCell ref="A33:F33"/>
    <mergeCell ref="A2:F2"/>
    <mergeCell ref="A3:F3"/>
    <mergeCell ref="A28:F28"/>
    <mergeCell ref="A29:F29"/>
    <mergeCell ref="A30:F3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20"/>
  <sheetViews>
    <sheetView zoomScaleNormal="100" workbookViewId="0"/>
  </sheetViews>
  <sheetFormatPr baseColWidth="10" defaultColWidth="8.6640625" defaultRowHeight="14.4" x14ac:dyDescent="0.3"/>
  <cols>
    <col min="1" max="1" width="5" customWidth="1"/>
    <col min="2" max="2" width="36" customWidth="1"/>
    <col min="3" max="3" width="42" customWidth="1"/>
    <col min="4" max="4" width="14" customWidth="1"/>
    <col min="5" max="5" width="18" customWidth="1"/>
  </cols>
  <sheetData>
    <row r="2" spans="1:5" ht="43.5" customHeight="1" x14ac:dyDescent="0.3">
      <c r="A2" s="70" t="s">
        <v>60</v>
      </c>
      <c r="B2" s="70"/>
      <c r="C2" s="70"/>
      <c r="D2" s="70"/>
      <c r="E2" s="70"/>
    </row>
    <row r="3" spans="1:5" ht="15" customHeight="1" x14ac:dyDescent="0.3">
      <c r="A3" s="71" t="s">
        <v>61</v>
      </c>
      <c r="B3" s="71"/>
      <c r="C3" s="71"/>
      <c r="D3" s="71"/>
      <c r="E3" s="71"/>
    </row>
    <row r="5" spans="1:5" ht="25.5" customHeight="1" x14ac:dyDescent="0.3">
      <c r="A5" s="12" t="s">
        <v>62</v>
      </c>
      <c r="B5" s="12" t="s">
        <v>63</v>
      </c>
      <c r="C5" s="12" t="s">
        <v>64</v>
      </c>
      <c r="D5" s="12" t="s">
        <v>65</v>
      </c>
      <c r="E5" s="12" t="s">
        <v>66</v>
      </c>
    </row>
    <row r="6" spans="1:5" ht="36" customHeight="1" x14ac:dyDescent="0.3">
      <c r="A6" s="13" t="s">
        <v>67</v>
      </c>
      <c r="B6" s="14" t="s">
        <v>68</v>
      </c>
      <c r="C6" s="14" t="s">
        <v>69</v>
      </c>
      <c r="D6" s="13" t="s">
        <v>70</v>
      </c>
      <c r="E6" s="13" t="s">
        <v>71</v>
      </c>
    </row>
    <row r="7" spans="1:5" ht="36" customHeight="1" x14ac:dyDescent="0.3">
      <c r="A7" s="15" t="s">
        <v>72</v>
      </c>
      <c r="B7" s="16" t="s">
        <v>73</v>
      </c>
      <c r="C7" s="16" t="s">
        <v>74</v>
      </c>
      <c r="D7" s="15" t="s">
        <v>70</v>
      </c>
      <c r="E7" s="15" t="s">
        <v>71</v>
      </c>
    </row>
    <row r="8" spans="1:5" ht="36" customHeight="1" x14ac:dyDescent="0.3">
      <c r="A8" s="17" t="s">
        <v>75</v>
      </c>
      <c r="B8" s="18" t="s">
        <v>76</v>
      </c>
      <c r="C8" s="18" t="s">
        <v>77</v>
      </c>
      <c r="D8" s="17" t="s">
        <v>70</v>
      </c>
      <c r="E8" s="17" t="s">
        <v>71</v>
      </c>
    </row>
    <row r="9" spans="1:5" ht="36" customHeight="1" x14ac:dyDescent="0.3">
      <c r="A9" s="19" t="s">
        <v>78</v>
      </c>
      <c r="B9" s="20" t="s">
        <v>79</v>
      </c>
      <c r="C9" s="20" t="s">
        <v>80</v>
      </c>
      <c r="D9" s="19" t="s">
        <v>70</v>
      </c>
      <c r="E9" s="21" t="s">
        <v>81</v>
      </c>
    </row>
    <row r="10" spans="1:5" ht="36" customHeight="1" x14ac:dyDescent="0.3">
      <c r="A10" s="22" t="s">
        <v>82</v>
      </c>
      <c r="B10" s="23" t="s">
        <v>83</v>
      </c>
      <c r="C10" s="23" t="s">
        <v>84</v>
      </c>
      <c r="D10" s="22" t="s">
        <v>70</v>
      </c>
      <c r="E10" s="24" t="s">
        <v>81</v>
      </c>
    </row>
    <row r="11" spans="1:5" ht="36" customHeight="1" x14ac:dyDescent="0.3">
      <c r="A11" s="25" t="s">
        <v>85</v>
      </c>
      <c r="B11" s="26" t="s">
        <v>86</v>
      </c>
      <c r="C11" s="26" t="s">
        <v>87</v>
      </c>
      <c r="D11" s="25" t="s">
        <v>70</v>
      </c>
      <c r="E11" s="25" t="s">
        <v>71</v>
      </c>
    </row>
    <row r="13" spans="1:5" ht="13.5" customHeight="1" x14ac:dyDescent="0.3"/>
    <row r="14" spans="1:5" ht="15" customHeight="1" x14ac:dyDescent="0.3">
      <c r="A14" s="72" t="s">
        <v>88</v>
      </c>
      <c r="B14" s="72"/>
      <c r="C14" s="72"/>
      <c r="D14" s="72"/>
      <c r="E14" s="72"/>
    </row>
    <row r="15" spans="1:5" ht="21.75" customHeight="1" x14ac:dyDescent="0.3">
      <c r="A15" s="73" t="s">
        <v>89</v>
      </c>
      <c r="B15" s="73"/>
      <c r="C15" s="73"/>
      <c r="D15" s="73"/>
      <c r="E15" s="73"/>
    </row>
    <row r="16" spans="1:5" ht="21.75" customHeight="1" x14ac:dyDescent="0.3">
      <c r="A16" s="74" t="s">
        <v>90</v>
      </c>
      <c r="B16" s="74"/>
      <c r="C16" s="74"/>
      <c r="D16" s="74"/>
      <c r="E16" s="74"/>
    </row>
    <row r="17" spans="1:5" ht="21.75" customHeight="1" x14ac:dyDescent="0.3">
      <c r="A17" s="67" t="s">
        <v>91</v>
      </c>
      <c r="B17" s="67"/>
      <c r="C17" s="67"/>
      <c r="D17" s="67"/>
      <c r="E17" s="67"/>
    </row>
    <row r="19" spans="1:5" ht="15" customHeight="1" x14ac:dyDescent="0.3">
      <c r="A19" s="68" t="s">
        <v>92</v>
      </c>
      <c r="B19" s="68"/>
      <c r="C19" s="68"/>
      <c r="D19" s="68"/>
      <c r="E19" s="68"/>
    </row>
    <row r="20" spans="1:5" ht="49.5" customHeight="1" x14ac:dyDescent="0.3">
      <c r="A20" s="69" t="s">
        <v>93</v>
      </c>
      <c r="B20" s="69"/>
      <c r="C20" s="69"/>
      <c r="D20" s="69"/>
      <c r="E20" s="69"/>
    </row>
  </sheetData>
  <mergeCells count="8">
    <mergeCell ref="A17:E17"/>
    <mergeCell ref="A19:E19"/>
    <mergeCell ref="A20:E20"/>
    <mergeCell ref="A2:E2"/>
    <mergeCell ref="A3:E3"/>
    <mergeCell ref="A14:E14"/>
    <mergeCell ref="A15:E15"/>
    <mergeCell ref="A16:E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29"/>
  <sheetViews>
    <sheetView zoomScaleNormal="100" workbookViewId="0"/>
  </sheetViews>
  <sheetFormatPr baseColWidth="10" defaultColWidth="8.6640625" defaultRowHeight="14.4" x14ac:dyDescent="0.3"/>
  <cols>
    <col min="1" max="1" width="4" customWidth="1"/>
    <col min="2" max="2" width="26" customWidth="1"/>
    <col min="3" max="3" width="20" customWidth="1"/>
    <col min="4" max="9" width="10" customWidth="1"/>
    <col min="10" max="10" width="14" customWidth="1"/>
    <col min="11" max="11" width="18" customWidth="1"/>
  </cols>
  <sheetData>
    <row r="2" spans="1:11" ht="43.5" customHeight="1" x14ac:dyDescent="0.3">
      <c r="A2" s="75" t="s">
        <v>94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5" customHeight="1" x14ac:dyDescent="0.3">
      <c r="A3" s="76" t="s">
        <v>95</v>
      </c>
      <c r="B3" s="76"/>
      <c r="C3" s="76"/>
      <c r="D3" s="76"/>
      <c r="E3" s="76"/>
      <c r="F3" s="76"/>
      <c r="G3" s="76"/>
      <c r="H3" s="76"/>
      <c r="I3" s="76"/>
      <c r="J3" s="76"/>
      <c r="K3" s="76"/>
    </row>
    <row r="4" spans="1:11" ht="37.799999999999997" customHeight="1" x14ac:dyDescent="0.3">
      <c r="A4" s="27"/>
      <c r="B4" s="27" t="s">
        <v>96</v>
      </c>
      <c r="C4" s="27"/>
      <c r="D4" s="27" t="s">
        <v>97</v>
      </c>
      <c r="E4" s="27" t="s">
        <v>98</v>
      </c>
      <c r="F4" s="27" t="s">
        <v>99</v>
      </c>
      <c r="G4" s="27" t="s">
        <v>100</v>
      </c>
      <c r="H4" s="27" t="s">
        <v>101</v>
      </c>
      <c r="I4" s="27" t="s">
        <v>102</v>
      </c>
      <c r="J4" s="27" t="s">
        <v>103</v>
      </c>
      <c r="K4" s="27" t="s">
        <v>104</v>
      </c>
    </row>
    <row r="5" spans="1:11" ht="25.5" customHeight="1" x14ac:dyDescent="0.3">
      <c r="A5" s="28" t="s">
        <v>2</v>
      </c>
      <c r="B5" s="28" t="s">
        <v>4</v>
      </c>
      <c r="C5" s="28" t="s">
        <v>3</v>
      </c>
      <c r="D5" s="28" t="s">
        <v>67</v>
      </c>
      <c r="E5" s="28" t="s">
        <v>72</v>
      </c>
      <c r="F5" s="28" t="s">
        <v>75</v>
      </c>
      <c r="G5" s="28" t="s">
        <v>105</v>
      </c>
      <c r="H5" s="28" t="s">
        <v>106</v>
      </c>
      <c r="I5" s="28" t="s">
        <v>85</v>
      </c>
      <c r="J5" s="28" t="s">
        <v>107</v>
      </c>
      <c r="K5" s="28" t="s">
        <v>108</v>
      </c>
    </row>
    <row r="6" spans="1:11" ht="21.75" customHeight="1" x14ac:dyDescent="0.3">
      <c r="A6" s="29">
        <v>1</v>
      </c>
      <c r="B6" s="30" t="s">
        <v>9</v>
      </c>
      <c r="C6" s="30" t="s">
        <v>8</v>
      </c>
      <c r="D6" s="13">
        <v>3</v>
      </c>
      <c r="E6" s="25">
        <v>2</v>
      </c>
      <c r="F6" s="25">
        <v>2</v>
      </c>
      <c r="G6" s="31">
        <v>2</v>
      </c>
      <c r="H6" s="32">
        <v>3</v>
      </c>
      <c r="I6" s="25">
        <v>2</v>
      </c>
      <c r="J6" s="33">
        <f t="shared" ref="J6:J27" si="0">AVERAGE(D6:I6)</f>
        <v>2.3333333333333335</v>
      </c>
      <c r="K6" s="2" t="str">
        <f t="shared" ref="K6:K27" si="1">IF(J6&gt;=2.5,"✅ ALTA",IF(J6&gt;=2,"🟡 MEDIA","🔴 BAJA"))</f>
        <v>🟡 MEDIA</v>
      </c>
    </row>
    <row r="7" spans="1:11" ht="21.75" customHeight="1" x14ac:dyDescent="0.3">
      <c r="A7" s="34">
        <v>2</v>
      </c>
      <c r="B7" s="35" t="s">
        <v>14</v>
      </c>
      <c r="C7" s="35" t="s">
        <v>13</v>
      </c>
      <c r="D7" s="13">
        <v>3</v>
      </c>
      <c r="E7" s="25">
        <v>2</v>
      </c>
      <c r="F7" s="25">
        <v>2</v>
      </c>
      <c r="G7" s="31">
        <v>2</v>
      </c>
      <c r="H7" s="32">
        <v>3</v>
      </c>
      <c r="I7" s="25">
        <v>2</v>
      </c>
      <c r="J7" s="33">
        <f t="shared" si="0"/>
        <v>2.3333333333333335</v>
      </c>
      <c r="K7" s="2" t="str">
        <f t="shared" si="1"/>
        <v>🟡 MEDIA</v>
      </c>
    </row>
    <row r="8" spans="1:11" ht="21.75" customHeight="1" x14ac:dyDescent="0.3">
      <c r="A8" s="34">
        <v>3</v>
      </c>
      <c r="B8" s="35" t="s">
        <v>16</v>
      </c>
      <c r="C8" s="35" t="s">
        <v>13</v>
      </c>
      <c r="D8" s="13">
        <v>3</v>
      </c>
      <c r="E8" s="13">
        <v>3</v>
      </c>
      <c r="F8" s="13">
        <v>3</v>
      </c>
      <c r="G8" s="31">
        <v>2</v>
      </c>
      <c r="H8" s="36">
        <v>1</v>
      </c>
      <c r="I8" s="13">
        <v>3</v>
      </c>
      <c r="J8" s="33">
        <f t="shared" si="0"/>
        <v>2.5</v>
      </c>
      <c r="K8" s="2" t="str">
        <f t="shared" si="1"/>
        <v>✅ ALTA</v>
      </c>
    </row>
    <row r="9" spans="1:11" ht="21.75" customHeight="1" x14ac:dyDescent="0.3">
      <c r="A9" s="37">
        <v>4</v>
      </c>
      <c r="B9" s="38" t="s">
        <v>20</v>
      </c>
      <c r="C9" s="38" t="s">
        <v>19</v>
      </c>
      <c r="D9" s="13">
        <v>3</v>
      </c>
      <c r="E9" s="13">
        <v>3</v>
      </c>
      <c r="F9" s="13">
        <v>3</v>
      </c>
      <c r="G9" s="31">
        <v>2</v>
      </c>
      <c r="H9" s="36">
        <v>1</v>
      </c>
      <c r="I9" s="13">
        <v>3</v>
      </c>
      <c r="J9" s="33">
        <f t="shared" si="0"/>
        <v>2.5</v>
      </c>
      <c r="K9" s="2" t="str">
        <f t="shared" si="1"/>
        <v>✅ ALTA</v>
      </c>
    </row>
    <row r="10" spans="1:11" ht="21.75" customHeight="1" x14ac:dyDescent="0.3">
      <c r="A10" s="37">
        <v>5</v>
      </c>
      <c r="B10" s="38" t="s">
        <v>16</v>
      </c>
      <c r="C10" s="38" t="s">
        <v>19</v>
      </c>
      <c r="D10" s="13">
        <v>3</v>
      </c>
      <c r="E10" s="13">
        <v>3</v>
      </c>
      <c r="F10" s="13">
        <v>3</v>
      </c>
      <c r="G10" s="31">
        <v>2</v>
      </c>
      <c r="H10" s="36">
        <v>1</v>
      </c>
      <c r="I10" s="13">
        <v>3</v>
      </c>
      <c r="J10" s="33">
        <f t="shared" si="0"/>
        <v>2.5</v>
      </c>
      <c r="K10" s="2" t="str">
        <f t="shared" si="1"/>
        <v>✅ ALTA</v>
      </c>
    </row>
    <row r="11" spans="1:11" ht="21.75" customHeight="1" x14ac:dyDescent="0.3">
      <c r="A11" s="37">
        <v>6</v>
      </c>
      <c r="B11" s="38" t="s">
        <v>22</v>
      </c>
      <c r="C11" s="38" t="s">
        <v>19</v>
      </c>
      <c r="D11" s="13">
        <v>3</v>
      </c>
      <c r="E11" s="13">
        <v>3</v>
      </c>
      <c r="F11" s="13">
        <v>3</v>
      </c>
      <c r="G11" s="31">
        <v>2</v>
      </c>
      <c r="H11" s="31">
        <v>2</v>
      </c>
      <c r="I11" s="13">
        <v>3</v>
      </c>
      <c r="J11" s="33">
        <f t="shared" si="0"/>
        <v>2.6666666666666665</v>
      </c>
      <c r="K11" s="2" t="str">
        <f t="shared" si="1"/>
        <v>✅ ALTA</v>
      </c>
    </row>
    <row r="12" spans="1:11" ht="21.75" customHeight="1" x14ac:dyDescent="0.3">
      <c r="A12" s="37">
        <v>7</v>
      </c>
      <c r="B12" s="38" t="s">
        <v>25</v>
      </c>
      <c r="C12" s="38" t="s">
        <v>19</v>
      </c>
      <c r="D12" s="13">
        <v>3</v>
      </c>
      <c r="E12" s="13">
        <v>3</v>
      </c>
      <c r="F12" s="13">
        <v>3</v>
      </c>
      <c r="G12" s="31">
        <v>2</v>
      </c>
      <c r="H12" s="36">
        <v>1</v>
      </c>
      <c r="I12" s="13">
        <v>3</v>
      </c>
      <c r="J12" s="33">
        <f t="shared" si="0"/>
        <v>2.5</v>
      </c>
      <c r="K12" s="2" t="str">
        <f t="shared" si="1"/>
        <v>✅ ALTA</v>
      </c>
    </row>
    <row r="13" spans="1:11" ht="21.75" customHeight="1" x14ac:dyDescent="0.3">
      <c r="A13" s="37">
        <v>8</v>
      </c>
      <c r="B13" s="38" t="s">
        <v>27</v>
      </c>
      <c r="C13" s="38" t="s">
        <v>19</v>
      </c>
      <c r="D13" s="13">
        <v>3</v>
      </c>
      <c r="E13" s="13">
        <v>3</v>
      </c>
      <c r="F13" s="25">
        <v>2</v>
      </c>
      <c r="G13" s="31">
        <v>2</v>
      </c>
      <c r="H13" s="36">
        <v>1</v>
      </c>
      <c r="I13" s="13">
        <v>3</v>
      </c>
      <c r="J13" s="33">
        <f t="shared" si="0"/>
        <v>2.3333333333333335</v>
      </c>
      <c r="K13" s="2" t="str">
        <f t="shared" si="1"/>
        <v>🟡 MEDIA</v>
      </c>
    </row>
    <row r="14" spans="1:11" ht="21.75" customHeight="1" x14ac:dyDescent="0.3">
      <c r="A14" s="39">
        <v>9</v>
      </c>
      <c r="B14" s="40" t="s">
        <v>30</v>
      </c>
      <c r="C14" s="40" t="s">
        <v>29</v>
      </c>
      <c r="D14" s="13">
        <v>3</v>
      </c>
      <c r="E14" s="25">
        <v>2</v>
      </c>
      <c r="F14" s="13">
        <v>3</v>
      </c>
      <c r="G14" s="32">
        <v>3</v>
      </c>
      <c r="H14" s="32">
        <v>3</v>
      </c>
      <c r="I14" s="25">
        <v>2</v>
      </c>
      <c r="J14" s="41">
        <f t="shared" si="0"/>
        <v>2.6666666666666665</v>
      </c>
      <c r="K14" s="42" t="str">
        <f t="shared" si="1"/>
        <v>✅ ALTA</v>
      </c>
    </row>
    <row r="15" spans="1:11" ht="21.75" customHeight="1" x14ac:dyDescent="0.3">
      <c r="A15" s="39">
        <v>10</v>
      </c>
      <c r="B15" s="40" t="s">
        <v>32</v>
      </c>
      <c r="C15" s="40" t="s">
        <v>29</v>
      </c>
      <c r="D15" s="13">
        <v>3</v>
      </c>
      <c r="E15" s="43">
        <v>1</v>
      </c>
      <c r="F15" s="13">
        <v>3</v>
      </c>
      <c r="G15" s="32">
        <v>3</v>
      </c>
      <c r="H15" s="32">
        <v>3</v>
      </c>
      <c r="I15" s="43">
        <v>1</v>
      </c>
      <c r="J15" s="33">
        <f t="shared" si="0"/>
        <v>2.3333333333333335</v>
      </c>
      <c r="K15" s="2" t="str">
        <f t="shared" si="1"/>
        <v>🟡 MEDIA</v>
      </c>
    </row>
    <row r="16" spans="1:11" ht="21.75" customHeight="1" x14ac:dyDescent="0.3">
      <c r="A16" s="39">
        <v>11</v>
      </c>
      <c r="B16" s="40" t="s">
        <v>34</v>
      </c>
      <c r="C16" s="40" t="s">
        <v>29</v>
      </c>
      <c r="D16" s="13">
        <v>3</v>
      </c>
      <c r="E16" s="25">
        <v>2</v>
      </c>
      <c r="F16" s="13">
        <v>3</v>
      </c>
      <c r="G16" s="32">
        <v>3</v>
      </c>
      <c r="H16" s="31">
        <v>2</v>
      </c>
      <c r="I16" s="25">
        <v>2</v>
      </c>
      <c r="J16" s="33">
        <f t="shared" si="0"/>
        <v>2.5</v>
      </c>
      <c r="K16" s="2" t="str">
        <f t="shared" si="1"/>
        <v>✅ ALTA</v>
      </c>
    </row>
    <row r="17" spans="1:11" ht="21.75" customHeight="1" x14ac:dyDescent="0.3">
      <c r="A17" s="39">
        <v>12</v>
      </c>
      <c r="B17" s="40" t="s">
        <v>36</v>
      </c>
      <c r="C17" s="40" t="s">
        <v>29</v>
      </c>
      <c r="D17" s="13">
        <v>3</v>
      </c>
      <c r="E17" s="25">
        <v>2</v>
      </c>
      <c r="F17" s="13">
        <v>3</v>
      </c>
      <c r="G17" s="31">
        <v>2</v>
      </c>
      <c r="H17" s="31">
        <v>2</v>
      </c>
      <c r="I17" s="25">
        <v>2</v>
      </c>
      <c r="J17" s="33">
        <f t="shared" si="0"/>
        <v>2.3333333333333335</v>
      </c>
      <c r="K17" s="2" t="str">
        <f t="shared" si="1"/>
        <v>🟡 MEDIA</v>
      </c>
    </row>
    <row r="18" spans="1:11" ht="21.75" customHeight="1" x14ac:dyDescent="0.3">
      <c r="A18" s="39">
        <v>13</v>
      </c>
      <c r="B18" s="40" t="s">
        <v>38</v>
      </c>
      <c r="C18" s="40" t="s">
        <v>29</v>
      </c>
      <c r="D18" s="13">
        <v>3</v>
      </c>
      <c r="E18" s="13">
        <v>3</v>
      </c>
      <c r="F18" s="13">
        <v>3</v>
      </c>
      <c r="G18" s="31">
        <v>2</v>
      </c>
      <c r="H18" s="36">
        <v>1</v>
      </c>
      <c r="I18" s="13">
        <v>3</v>
      </c>
      <c r="J18" s="33">
        <f t="shared" si="0"/>
        <v>2.5</v>
      </c>
      <c r="K18" s="2" t="str">
        <f t="shared" si="1"/>
        <v>✅ ALTA</v>
      </c>
    </row>
    <row r="19" spans="1:11" ht="21.75" customHeight="1" x14ac:dyDescent="0.3">
      <c r="A19" s="39">
        <v>14</v>
      </c>
      <c r="B19" s="40" t="s">
        <v>40</v>
      </c>
      <c r="C19" s="40" t="s">
        <v>29</v>
      </c>
      <c r="D19" s="13">
        <v>3</v>
      </c>
      <c r="E19" s="25">
        <v>2</v>
      </c>
      <c r="F19" s="13">
        <v>3</v>
      </c>
      <c r="G19" s="32">
        <v>3</v>
      </c>
      <c r="H19" s="31">
        <v>2</v>
      </c>
      <c r="I19" s="25">
        <v>2</v>
      </c>
      <c r="J19" s="33">
        <f t="shared" si="0"/>
        <v>2.5</v>
      </c>
      <c r="K19" s="2" t="str">
        <f t="shared" si="1"/>
        <v>✅ ALTA</v>
      </c>
    </row>
    <row r="20" spans="1:11" ht="21.75" customHeight="1" x14ac:dyDescent="0.3">
      <c r="A20" s="39">
        <v>15</v>
      </c>
      <c r="B20" s="40" t="s">
        <v>42</v>
      </c>
      <c r="C20" s="40" t="s">
        <v>29</v>
      </c>
      <c r="D20" s="13">
        <v>3</v>
      </c>
      <c r="E20" s="25">
        <v>2</v>
      </c>
      <c r="F20" s="13">
        <v>3</v>
      </c>
      <c r="G20" s="32">
        <v>3</v>
      </c>
      <c r="H20" s="31">
        <v>2</v>
      </c>
      <c r="I20" s="25">
        <v>2</v>
      </c>
      <c r="J20" s="33">
        <f t="shared" si="0"/>
        <v>2.5</v>
      </c>
      <c r="K20" s="2" t="str">
        <f t="shared" si="1"/>
        <v>✅ ALTA</v>
      </c>
    </row>
    <row r="21" spans="1:11" ht="21.75" customHeight="1" x14ac:dyDescent="0.3">
      <c r="A21" s="39">
        <v>16</v>
      </c>
      <c r="B21" s="40" t="s">
        <v>44</v>
      </c>
      <c r="C21" s="40" t="s">
        <v>29</v>
      </c>
      <c r="D21" s="13">
        <v>3</v>
      </c>
      <c r="E21" s="25">
        <v>2</v>
      </c>
      <c r="F21" s="13">
        <v>3</v>
      </c>
      <c r="G21" s="31">
        <v>2</v>
      </c>
      <c r="H21" s="31">
        <v>2</v>
      </c>
      <c r="I21" s="25">
        <v>2</v>
      </c>
      <c r="J21" s="33">
        <f t="shared" si="0"/>
        <v>2.3333333333333335</v>
      </c>
      <c r="K21" s="2" t="str">
        <f t="shared" si="1"/>
        <v>🟡 MEDIA</v>
      </c>
    </row>
    <row r="22" spans="1:11" ht="21.75" customHeight="1" x14ac:dyDescent="0.3">
      <c r="A22" s="39">
        <v>17</v>
      </c>
      <c r="B22" s="40" t="s">
        <v>46</v>
      </c>
      <c r="C22" s="40" t="s">
        <v>29</v>
      </c>
      <c r="D22" s="13">
        <v>3</v>
      </c>
      <c r="E22" s="13">
        <v>3</v>
      </c>
      <c r="F22" s="13">
        <v>3</v>
      </c>
      <c r="G22" s="31">
        <v>2</v>
      </c>
      <c r="H22" s="36">
        <v>1</v>
      </c>
      <c r="I22" s="13">
        <v>3</v>
      </c>
      <c r="J22" s="33">
        <f t="shared" si="0"/>
        <v>2.5</v>
      </c>
      <c r="K22" s="2" t="str">
        <f t="shared" si="1"/>
        <v>✅ ALTA</v>
      </c>
    </row>
    <row r="23" spans="1:11" ht="21.75" customHeight="1" x14ac:dyDescent="0.3">
      <c r="A23" s="39">
        <v>18</v>
      </c>
      <c r="B23" s="40" t="s">
        <v>48</v>
      </c>
      <c r="C23" s="40" t="s">
        <v>29</v>
      </c>
      <c r="D23" s="13">
        <v>3</v>
      </c>
      <c r="E23" s="13">
        <v>3</v>
      </c>
      <c r="F23" s="13">
        <v>3</v>
      </c>
      <c r="G23" s="31">
        <v>2</v>
      </c>
      <c r="H23" s="36">
        <v>1</v>
      </c>
      <c r="I23" s="13">
        <v>3</v>
      </c>
      <c r="J23" s="33">
        <f t="shared" si="0"/>
        <v>2.5</v>
      </c>
      <c r="K23" s="2" t="str">
        <f t="shared" si="1"/>
        <v>✅ ALTA</v>
      </c>
    </row>
    <row r="24" spans="1:11" ht="21.75" customHeight="1" x14ac:dyDescent="0.3">
      <c r="A24" s="44">
        <v>19</v>
      </c>
      <c r="B24" s="45" t="s">
        <v>51</v>
      </c>
      <c r="C24" s="45" t="s">
        <v>50</v>
      </c>
      <c r="D24" s="13">
        <v>3</v>
      </c>
      <c r="E24" s="13">
        <v>3</v>
      </c>
      <c r="F24" s="13">
        <v>3</v>
      </c>
      <c r="G24" s="31">
        <v>2</v>
      </c>
      <c r="H24" s="31">
        <v>2</v>
      </c>
      <c r="I24" s="13">
        <v>3</v>
      </c>
      <c r="J24" s="33">
        <f t="shared" si="0"/>
        <v>2.6666666666666665</v>
      </c>
      <c r="K24" s="2" t="str">
        <f t="shared" si="1"/>
        <v>✅ ALTA</v>
      </c>
    </row>
    <row r="25" spans="1:11" ht="21.75" customHeight="1" x14ac:dyDescent="0.3">
      <c r="A25" s="44">
        <v>20</v>
      </c>
      <c r="B25" s="45" t="s">
        <v>53</v>
      </c>
      <c r="C25" s="45" t="s">
        <v>50</v>
      </c>
      <c r="D25" s="13">
        <v>3</v>
      </c>
      <c r="E25" s="13">
        <v>3</v>
      </c>
      <c r="F25" s="13">
        <v>3</v>
      </c>
      <c r="G25" s="31">
        <v>2</v>
      </c>
      <c r="H25" s="31">
        <v>2</v>
      </c>
      <c r="I25" s="13">
        <v>3</v>
      </c>
      <c r="J25" s="33">
        <f t="shared" si="0"/>
        <v>2.6666666666666665</v>
      </c>
      <c r="K25" s="2" t="str">
        <f t="shared" si="1"/>
        <v>✅ ALTA</v>
      </c>
    </row>
    <row r="26" spans="1:11" ht="21.75" customHeight="1" x14ac:dyDescent="0.3">
      <c r="A26" s="44">
        <v>21</v>
      </c>
      <c r="B26" s="45" t="s">
        <v>55</v>
      </c>
      <c r="C26" s="45" t="s">
        <v>50</v>
      </c>
      <c r="D26" s="13">
        <v>3</v>
      </c>
      <c r="E26" s="13">
        <v>3</v>
      </c>
      <c r="F26" s="25">
        <v>2</v>
      </c>
      <c r="G26" s="31">
        <v>2</v>
      </c>
      <c r="H26" s="31">
        <v>2</v>
      </c>
      <c r="I26" s="13">
        <v>3</v>
      </c>
      <c r="J26" s="33">
        <f t="shared" si="0"/>
        <v>2.5</v>
      </c>
      <c r="K26" s="2" t="str">
        <f t="shared" si="1"/>
        <v>✅ ALTA</v>
      </c>
    </row>
    <row r="27" spans="1:11" ht="21.75" customHeight="1" x14ac:dyDescent="0.3">
      <c r="A27" s="44">
        <v>22</v>
      </c>
      <c r="B27" s="45" t="s">
        <v>57</v>
      </c>
      <c r="C27" s="45" t="s">
        <v>50</v>
      </c>
      <c r="D27" s="13">
        <v>3</v>
      </c>
      <c r="E27" s="13">
        <v>3</v>
      </c>
      <c r="F27" s="25">
        <v>2</v>
      </c>
      <c r="G27" s="31">
        <v>2</v>
      </c>
      <c r="H27" s="31">
        <v>2</v>
      </c>
      <c r="I27" s="13">
        <v>3</v>
      </c>
      <c r="J27" s="33">
        <f t="shared" si="0"/>
        <v>2.5</v>
      </c>
      <c r="K27" s="2" t="str">
        <f t="shared" si="1"/>
        <v>✅ ALTA</v>
      </c>
    </row>
    <row r="28" spans="1:11" ht="13.5" customHeight="1" x14ac:dyDescent="0.3"/>
    <row r="29" spans="1:11" ht="30" customHeight="1" x14ac:dyDescent="0.3">
      <c r="A29" s="77" t="s">
        <v>109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</row>
  </sheetData>
  <mergeCells count="3">
    <mergeCell ref="A2:K2"/>
    <mergeCell ref="A3:K3"/>
    <mergeCell ref="A29:K2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21"/>
  <sheetViews>
    <sheetView zoomScaleNormal="100" workbookViewId="0"/>
  </sheetViews>
  <sheetFormatPr baseColWidth="10" defaultColWidth="8.6640625" defaultRowHeight="14.4" x14ac:dyDescent="0.3"/>
  <cols>
    <col min="1" max="1" width="4" customWidth="1"/>
    <col min="2" max="2" width="30" customWidth="1"/>
    <col min="3" max="3" width="20" customWidth="1"/>
    <col min="4" max="5" width="12" customWidth="1"/>
    <col min="6" max="7" width="28" customWidth="1"/>
    <col min="8" max="8" width="18" customWidth="1"/>
  </cols>
  <sheetData>
    <row r="2" spans="1:8" ht="43.5" customHeight="1" x14ac:dyDescent="0.3">
      <c r="A2" s="85" t="s">
        <v>110</v>
      </c>
      <c r="B2" s="85"/>
      <c r="C2" s="85"/>
      <c r="D2" s="85"/>
      <c r="E2" s="85"/>
      <c r="F2" s="85"/>
      <c r="G2" s="85"/>
      <c r="H2" s="85"/>
    </row>
    <row r="3" spans="1:8" ht="15" customHeight="1" x14ac:dyDescent="0.3">
      <c r="A3" s="63" t="s">
        <v>111</v>
      </c>
      <c r="B3" s="63"/>
      <c r="C3" s="63"/>
      <c r="D3" s="63"/>
      <c r="E3" s="63"/>
      <c r="F3" s="63"/>
      <c r="G3" s="63"/>
      <c r="H3" s="63"/>
    </row>
    <row r="5" spans="1:8" ht="25.5" customHeight="1" x14ac:dyDescent="0.3">
      <c r="A5" s="72" t="s">
        <v>112</v>
      </c>
      <c r="B5" s="72"/>
      <c r="C5" s="72"/>
      <c r="D5" s="72"/>
      <c r="E5" s="72"/>
      <c r="F5" s="72"/>
      <c r="G5" s="72"/>
      <c r="H5" s="72"/>
    </row>
    <row r="6" spans="1:8" ht="25.5" customHeight="1" x14ac:dyDescent="0.3">
      <c r="A6" s="2" t="s">
        <v>113</v>
      </c>
      <c r="B6" s="86" t="s">
        <v>114</v>
      </c>
      <c r="C6" s="86"/>
      <c r="D6" s="87" t="s">
        <v>115</v>
      </c>
      <c r="E6" s="87"/>
      <c r="F6" s="87"/>
      <c r="G6" s="87"/>
      <c r="H6" s="87"/>
    </row>
    <row r="7" spans="1:8" ht="25.5" customHeight="1" x14ac:dyDescent="0.3">
      <c r="A7" s="4" t="s">
        <v>113</v>
      </c>
      <c r="B7" s="79" t="s">
        <v>116</v>
      </c>
      <c r="C7" s="79"/>
      <c r="D7" s="80" t="s">
        <v>117</v>
      </c>
      <c r="E7" s="80"/>
      <c r="F7" s="80"/>
      <c r="G7" s="80"/>
      <c r="H7" s="80"/>
    </row>
    <row r="8" spans="1:8" ht="25.5" customHeight="1" x14ac:dyDescent="0.3">
      <c r="A8" s="6" t="s">
        <v>113</v>
      </c>
      <c r="B8" s="81" t="s">
        <v>118</v>
      </c>
      <c r="C8" s="81"/>
      <c r="D8" s="82" t="s">
        <v>119</v>
      </c>
      <c r="E8" s="82"/>
      <c r="F8" s="82"/>
      <c r="G8" s="82"/>
      <c r="H8" s="82"/>
    </row>
    <row r="9" spans="1:8" ht="25.5" customHeight="1" x14ac:dyDescent="0.3">
      <c r="A9" s="8" t="s">
        <v>113</v>
      </c>
      <c r="B9" s="83" t="s">
        <v>120</v>
      </c>
      <c r="C9" s="83"/>
      <c r="D9" s="84" t="s">
        <v>121</v>
      </c>
      <c r="E9" s="84"/>
      <c r="F9" s="84"/>
      <c r="G9" s="84"/>
      <c r="H9" s="84"/>
    </row>
    <row r="11" spans="1:8" ht="13.5" customHeight="1" x14ac:dyDescent="0.3"/>
    <row r="12" spans="1:8" ht="27.75" customHeight="1" x14ac:dyDescent="0.3">
      <c r="A12" s="78" t="s">
        <v>122</v>
      </c>
      <c r="B12" s="78"/>
      <c r="C12" s="78"/>
      <c r="D12" s="78"/>
      <c r="E12" s="78"/>
      <c r="F12" s="78"/>
      <c r="G12" s="78"/>
      <c r="H12" s="78"/>
    </row>
    <row r="13" spans="1:8" ht="24" customHeight="1" x14ac:dyDescent="0.3">
      <c r="A13" s="46" t="s">
        <v>123</v>
      </c>
      <c r="B13" s="46" t="s">
        <v>124</v>
      </c>
      <c r="C13" s="46" t="s">
        <v>3</v>
      </c>
      <c r="D13" s="46" t="s">
        <v>125</v>
      </c>
      <c r="E13" s="46" t="s">
        <v>105</v>
      </c>
      <c r="F13" s="46" t="s">
        <v>126</v>
      </c>
      <c r="G13" s="46" t="s">
        <v>127</v>
      </c>
      <c r="H13" s="46" t="s">
        <v>128</v>
      </c>
    </row>
    <row r="14" spans="1:8" ht="30" customHeight="1" x14ac:dyDescent="0.3">
      <c r="A14" s="2">
        <v>1</v>
      </c>
      <c r="B14" s="3" t="s">
        <v>30</v>
      </c>
      <c r="C14" s="3" t="s">
        <v>129</v>
      </c>
      <c r="D14" s="47">
        <v>2.67</v>
      </c>
      <c r="E14" s="32">
        <v>3</v>
      </c>
      <c r="F14" s="3" t="s">
        <v>130</v>
      </c>
      <c r="G14" s="3" t="s">
        <v>131</v>
      </c>
      <c r="H14" s="48" t="s">
        <v>132</v>
      </c>
    </row>
    <row r="15" spans="1:8" ht="30" customHeight="1" x14ac:dyDescent="0.3">
      <c r="A15" s="49">
        <v>2</v>
      </c>
      <c r="B15" s="50" t="s">
        <v>133</v>
      </c>
      <c r="C15" s="50" t="s">
        <v>50</v>
      </c>
      <c r="D15" s="51">
        <v>2.67</v>
      </c>
      <c r="E15" s="31">
        <v>2</v>
      </c>
      <c r="F15" s="50" t="s">
        <v>134</v>
      </c>
      <c r="G15" s="50" t="s">
        <v>135</v>
      </c>
      <c r="H15" s="42" t="s">
        <v>136</v>
      </c>
    </row>
    <row r="16" spans="1:8" ht="30" customHeight="1" x14ac:dyDescent="0.3">
      <c r="A16" s="52">
        <v>3</v>
      </c>
      <c r="B16" s="53" t="s">
        <v>137</v>
      </c>
      <c r="C16" s="53" t="s">
        <v>50</v>
      </c>
      <c r="D16" s="54">
        <v>2.67</v>
      </c>
      <c r="E16" s="31">
        <v>2</v>
      </c>
      <c r="F16" s="53" t="s">
        <v>138</v>
      </c>
      <c r="G16" s="53" t="s">
        <v>139</v>
      </c>
      <c r="H16" s="42" t="s">
        <v>140</v>
      </c>
    </row>
    <row r="17" spans="1:8" ht="30" customHeight="1" x14ac:dyDescent="0.3">
      <c r="A17" s="49">
        <v>4</v>
      </c>
      <c r="B17" s="50" t="s">
        <v>22</v>
      </c>
      <c r="C17" s="50" t="s">
        <v>19</v>
      </c>
      <c r="D17" s="51">
        <v>2.67</v>
      </c>
      <c r="E17" s="31">
        <v>2</v>
      </c>
      <c r="F17" s="50" t="s">
        <v>141</v>
      </c>
      <c r="G17" s="50" t="s">
        <v>142</v>
      </c>
      <c r="H17" s="55" t="s">
        <v>143</v>
      </c>
    </row>
    <row r="18" spans="1:8" ht="30" customHeight="1" x14ac:dyDescent="0.3">
      <c r="A18" s="52">
        <v>5</v>
      </c>
      <c r="B18" s="53" t="s">
        <v>144</v>
      </c>
      <c r="C18" s="53" t="s">
        <v>129</v>
      </c>
      <c r="D18" s="54">
        <v>2.5</v>
      </c>
      <c r="E18" s="32">
        <v>3</v>
      </c>
      <c r="F18" s="53" t="s">
        <v>145</v>
      </c>
      <c r="G18" s="53" t="s">
        <v>146</v>
      </c>
      <c r="H18" s="56" t="s">
        <v>147</v>
      </c>
    </row>
    <row r="19" spans="1:8" ht="30" customHeight="1" x14ac:dyDescent="0.3">
      <c r="A19" s="49">
        <v>6</v>
      </c>
      <c r="B19" s="50" t="s">
        <v>9</v>
      </c>
      <c r="C19" s="50" t="s">
        <v>8</v>
      </c>
      <c r="D19" s="51">
        <v>2.33</v>
      </c>
      <c r="E19" s="32">
        <v>3</v>
      </c>
      <c r="F19" s="50" t="s">
        <v>148</v>
      </c>
      <c r="G19" s="50" t="s">
        <v>149</v>
      </c>
      <c r="H19" s="56" t="s">
        <v>150</v>
      </c>
    </row>
    <row r="20" spans="1:8" ht="30" customHeight="1" x14ac:dyDescent="0.3">
      <c r="A20" s="52">
        <v>7</v>
      </c>
      <c r="B20" s="53" t="s">
        <v>20</v>
      </c>
      <c r="C20" s="53" t="s">
        <v>19</v>
      </c>
      <c r="D20" s="54">
        <v>2.5</v>
      </c>
      <c r="E20" s="31">
        <v>2</v>
      </c>
      <c r="F20" s="53" t="s">
        <v>151</v>
      </c>
      <c r="G20" s="53" t="s">
        <v>152</v>
      </c>
      <c r="H20" s="56" t="s">
        <v>153</v>
      </c>
    </row>
    <row r="21" spans="1:8" ht="30" customHeight="1" x14ac:dyDescent="0.3">
      <c r="A21" s="49">
        <v>8</v>
      </c>
      <c r="B21" s="50" t="s">
        <v>38</v>
      </c>
      <c r="C21" s="50" t="s">
        <v>129</v>
      </c>
      <c r="D21" s="51">
        <v>2.5</v>
      </c>
      <c r="E21" s="31">
        <v>2</v>
      </c>
      <c r="F21" s="50" t="s">
        <v>154</v>
      </c>
      <c r="G21" s="50" t="s">
        <v>155</v>
      </c>
      <c r="H21" s="56" t="s">
        <v>153</v>
      </c>
    </row>
  </sheetData>
  <mergeCells count="12">
    <mergeCell ref="A2:H2"/>
    <mergeCell ref="A3:H3"/>
    <mergeCell ref="A5:H5"/>
    <mergeCell ref="B6:C6"/>
    <mergeCell ref="D6:H6"/>
    <mergeCell ref="A12:H12"/>
    <mergeCell ref="B7:C7"/>
    <mergeCell ref="D7:H7"/>
    <mergeCell ref="B8:C8"/>
    <mergeCell ref="D8:H8"/>
    <mergeCell ref="B9:C9"/>
    <mergeCell ref="D9:H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10"/>
  <sheetViews>
    <sheetView zoomScaleNormal="100" workbookViewId="0"/>
  </sheetViews>
  <sheetFormatPr baseColWidth="10" defaultColWidth="8.6640625" defaultRowHeight="14.4" x14ac:dyDescent="0.3"/>
  <cols>
    <col min="1" max="1" width="4" customWidth="1"/>
    <col min="2" max="2" width="30" customWidth="1"/>
    <col min="3" max="3" width="18" customWidth="1"/>
    <col min="4" max="4" width="14" customWidth="1"/>
    <col min="5" max="5" width="12" customWidth="1"/>
    <col min="6" max="7" width="22" customWidth="1"/>
    <col min="8" max="8" width="16" customWidth="1"/>
  </cols>
  <sheetData>
    <row r="2" spans="1:8" ht="43.5" customHeight="1" x14ac:dyDescent="0.3">
      <c r="A2" s="88" t="s">
        <v>156</v>
      </c>
      <c r="B2" s="88"/>
      <c r="C2" s="88"/>
      <c r="D2" s="88"/>
      <c r="E2" s="88"/>
      <c r="F2" s="88"/>
      <c r="G2" s="88"/>
      <c r="H2" s="88"/>
    </row>
    <row r="3" spans="1:8" ht="15" customHeight="1" x14ac:dyDescent="0.3">
      <c r="A3" s="71" t="s">
        <v>157</v>
      </c>
      <c r="B3" s="71"/>
      <c r="C3" s="71"/>
      <c r="D3" s="71"/>
      <c r="E3" s="71"/>
      <c r="F3" s="71"/>
      <c r="G3" s="71"/>
      <c r="H3" s="71"/>
    </row>
    <row r="5" spans="1:8" ht="33.75" customHeight="1" x14ac:dyDescent="0.3">
      <c r="A5" s="28" t="s">
        <v>2</v>
      </c>
      <c r="B5" s="28" t="s">
        <v>124</v>
      </c>
      <c r="C5" s="28" t="s">
        <v>3</v>
      </c>
      <c r="D5" s="28" t="s">
        <v>158</v>
      </c>
      <c r="E5" s="28" t="s">
        <v>159</v>
      </c>
      <c r="F5" s="28" t="s">
        <v>160</v>
      </c>
      <c r="G5" s="28" t="s">
        <v>161</v>
      </c>
      <c r="H5" s="28" t="s">
        <v>162</v>
      </c>
    </row>
    <row r="6" spans="1:8" ht="30" customHeight="1" x14ac:dyDescent="0.3">
      <c r="A6" s="4">
        <v>1</v>
      </c>
      <c r="B6" s="5" t="s">
        <v>163</v>
      </c>
      <c r="C6" s="5" t="s">
        <v>164</v>
      </c>
      <c r="D6" s="4" t="s">
        <v>165</v>
      </c>
      <c r="E6" s="4" t="s">
        <v>166</v>
      </c>
      <c r="F6" s="5" t="s">
        <v>167</v>
      </c>
      <c r="G6" s="5" t="s">
        <v>168</v>
      </c>
      <c r="H6" s="48" t="s">
        <v>132</v>
      </c>
    </row>
    <row r="7" spans="1:8" ht="30" customHeight="1" x14ac:dyDescent="0.3">
      <c r="A7" s="52">
        <v>2</v>
      </c>
      <c r="B7" s="53" t="s">
        <v>169</v>
      </c>
      <c r="C7" s="53" t="s">
        <v>50</v>
      </c>
      <c r="D7" s="52" t="s">
        <v>170</v>
      </c>
      <c r="E7" s="52" t="s">
        <v>171</v>
      </c>
      <c r="F7" s="53" t="s">
        <v>172</v>
      </c>
      <c r="G7" s="53" t="s">
        <v>173</v>
      </c>
      <c r="H7" s="42" t="s">
        <v>174</v>
      </c>
    </row>
    <row r="8" spans="1:8" ht="30" customHeight="1" x14ac:dyDescent="0.3">
      <c r="A8" s="4">
        <v>3</v>
      </c>
      <c r="B8" s="5" t="s">
        <v>175</v>
      </c>
      <c r="C8" s="5" t="s">
        <v>50</v>
      </c>
      <c r="D8" s="4" t="s">
        <v>176</v>
      </c>
      <c r="E8" s="4" t="s">
        <v>177</v>
      </c>
      <c r="F8" s="5" t="s">
        <v>178</v>
      </c>
      <c r="G8" s="5" t="s">
        <v>179</v>
      </c>
      <c r="H8" s="42" t="s">
        <v>174</v>
      </c>
    </row>
    <row r="9" spans="1:8" ht="30" customHeight="1" x14ac:dyDescent="0.3">
      <c r="A9" s="52">
        <v>4</v>
      </c>
      <c r="B9" s="53" t="s">
        <v>22</v>
      </c>
      <c r="C9" s="53" t="s">
        <v>19</v>
      </c>
      <c r="D9" s="52" t="s">
        <v>180</v>
      </c>
      <c r="E9" s="52" t="s">
        <v>181</v>
      </c>
      <c r="F9" s="53" t="s">
        <v>182</v>
      </c>
      <c r="G9" s="53" t="s">
        <v>183</v>
      </c>
      <c r="H9" s="42" t="s">
        <v>184</v>
      </c>
    </row>
    <row r="10" spans="1:8" ht="30" customHeight="1" x14ac:dyDescent="0.3">
      <c r="A10" s="4">
        <v>5</v>
      </c>
      <c r="B10" s="5" t="s">
        <v>9</v>
      </c>
      <c r="C10" s="5" t="s">
        <v>8</v>
      </c>
      <c r="D10" s="4" t="s">
        <v>185</v>
      </c>
      <c r="E10" s="4" t="s">
        <v>186</v>
      </c>
      <c r="F10" s="5" t="s">
        <v>187</v>
      </c>
      <c r="G10" s="5" t="s">
        <v>188</v>
      </c>
      <c r="H10" s="55" t="s">
        <v>189</v>
      </c>
    </row>
  </sheetData>
  <mergeCells count="2">
    <mergeCell ref="A2:H2"/>
    <mergeCell ref="A3:H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1. Inventario de Ideas</vt:lpstr>
      <vt:lpstr>2. Criterios del Grupo</vt:lpstr>
      <vt:lpstr>3. Tabla de Evaluación</vt:lpstr>
      <vt:lpstr>4. Filtro y Ranking</vt:lpstr>
      <vt:lpstr>5. Comparativa Prototipos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luis mario rocha vela</cp:lastModifiedBy>
  <cp:revision>0</cp:revision>
  <dcterms:created xsi:type="dcterms:W3CDTF">2026-03-20T20:26:03Z</dcterms:created>
  <dcterms:modified xsi:type="dcterms:W3CDTF">2026-03-20T22:30:10Z</dcterms:modified>
  <dc:language>en-US</dc:language>
</cp:coreProperties>
</file>